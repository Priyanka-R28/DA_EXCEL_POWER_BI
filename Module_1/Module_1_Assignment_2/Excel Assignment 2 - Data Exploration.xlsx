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\ANB19\Module_1\Module_1_Assignment_2\"/>
    </mc:Choice>
  </mc:AlternateContent>
  <xr:revisionPtr revIDLastSave="0" documentId="13_ncr:1_{FB75F33C-C78B-425E-984E-B8B8C150B5D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taset" sheetId="1" r:id="rId1"/>
    <sheet name="Dataset_Cleaned" sheetId="6" r:id="rId2"/>
  </sheets>
  <definedNames>
    <definedName name="ExternalData_1" localSheetId="1" hidden="1">Dataset_Cleaned!$A$1:$H$32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I2" i="6" l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119964-7F4E-45EB-B65B-2CECA6E23B6F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36C65D23-6C93-4DF3-A7AB-EF502C5374A1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ED275398-3E5A-4A7F-B333-2C4FAE60578F}" keepAlive="1" name="Query - Table6" description="Connection to the 'Table6' query in the workbook." type="5" refreshedVersion="0" background="1">
    <dbPr connection="Provider=Microsoft.Mashup.OleDb.1;Data Source=$Workbook$;Location=Table6;Extended Properties=&quot;&quot;" command="SELECT * FROM [Table6]"/>
  </connection>
</connections>
</file>

<file path=xl/sharedStrings.xml><?xml version="1.0" encoding="utf-8"?>
<sst xmlns="http://schemas.openxmlformats.org/spreadsheetml/2006/main" count="306" uniqueCount="109">
  <si>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</si>
  <si>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</si>
  <si>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</si>
  <si>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</si>
  <si>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</si>
  <si>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</si>
  <si>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</si>
  <si>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</si>
  <si>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</si>
  <si>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</si>
  <si>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</si>
  <si>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</si>
  <si>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</si>
  <si>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</si>
  <si>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</si>
  <si>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</si>
  <si>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</si>
  <si>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</si>
  <si>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</si>
  <si>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</si>
  <si>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</si>
  <si>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</si>
  <si>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</si>
  <si>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</si>
  <si>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</si>
  <si>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</si>
  <si>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</si>
  <si>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</si>
  <si>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</si>
  <si>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</si>
  <si>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</si>
  <si>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</si>
  <si>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</si>
  <si>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</si>
  <si>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</si>
  <si>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</si>
  <si>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</si>
  <si>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</si>
  <si>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</si>
  <si>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</si>
  <si>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</si>
  <si>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</si>
  <si>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</si>
  <si>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</si>
  <si>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</si>
  <si>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</si>
  <si>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</si>
  <si>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</si>
  <si>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</si>
  <si>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</si>
  <si>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</si>
  <si>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</si>
  <si>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</si>
  <si>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</si>
  <si>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</si>
  <si>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</si>
  <si>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</si>
  <si>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</si>
  <si>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</si>
  <si>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</si>
  <si>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</si>
  <si>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</si>
  <si>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</si>
  <si>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</si>
  <si>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</si>
  <si>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</si>
  <si>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</si>
  <si>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</si>
  <si>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</si>
  <si>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</si>
  <si>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</si>
  <si>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</si>
  <si>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</si>
  <si>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</si>
  <si>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</si>
  <si>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</si>
  <si>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</si>
  <si>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</si>
  <si>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</si>
  <si>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</si>
  <si>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</si>
  <si>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</si>
  <si>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</si>
  <si>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</si>
  <si>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</si>
  <si>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</si>
  <si>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</si>
  <si>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</si>
  <si>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</si>
  <si>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</si>
  <si>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</si>
  <si>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</si>
  <si>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</si>
  <si>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T-Shirt</t>
  </si>
  <si>
    <t>UK</t>
  </si>
  <si>
    <t>CA</t>
  </si>
  <si>
    <t>US</t>
  </si>
  <si>
    <t>DE</t>
  </si>
  <si>
    <t>FR</t>
  </si>
  <si>
    <t>RU</t>
  </si>
  <si>
    <t>ES</t>
  </si>
  <si>
    <t>IN</t>
  </si>
  <si>
    <t>BR</t>
  </si>
  <si>
    <t>CN</t>
  </si>
  <si>
    <t>AU</t>
  </si>
  <si>
    <t>IT</t>
  </si>
  <si>
    <t>Country Code</t>
  </si>
  <si>
    <t>Manufacturing Date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</si>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</sst>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,##0.00;[Red]#,##0.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3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0" fillId="0" borderId="5" xfId="0" applyNumberFormat="1" applyBorder="1"/>
    <xf numFmtId="0" fontId="0" fillId="0" borderId="1" xfId="0" applyBorder="1"/>
    <xf numFmtId="0" fontId="0" fillId="0" borderId="6" xfId="0" applyNumberFormat="1" applyBorder="1"/>
    <xf numFmtId="0" fontId="0" fillId="0" borderId="7" xfId="0" applyBorder="1"/>
    <xf numFmtId="0" fontId="0" fillId="0" borderId="1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9" fontId="3" fillId="0" borderId="3" xfId="0" applyNumberFormat="1" applyFont="1" applyBorder="1"/>
    <xf numFmtId="169" fontId="0" fillId="0" borderId="1" xfId="0" applyNumberFormat="1" applyBorder="1"/>
    <xf numFmtId="169" fontId="0" fillId="0" borderId="7" xfId="0" applyNumberFormat="1" applyBorder="1"/>
    <xf numFmtId="169" fontId="0" fillId="0" borderId="0" xfId="0" applyNumberFormat="1"/>
    <xf numFmtId="0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9" formatCode="#,##0.00;[Red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3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BCFB110-7117-49F8-81D9-3EF4BE9DBD9B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  <queryTableField id="7" name="Country Code" tableColumnId="7"/>
      <queryTableField id="8" name="Column1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3AC865-9CDB-436A-A864-4F71C1A21429}" name="Table1__2" displayName="Table1__2" ref="A1:I32" tableType="queryTable" totalsRowShown="0" headerRowDxfId="6" headerRowBorderDxfId="14" tableBorderDxfId="15" totalsRowBorderDxfId="13">
  <autoFilter ref="A1:I32" xr:uid="{B63AC865-9CDB-436A-A864-4F71C1A21429}"/>
  <tableColumns count="9">
    <tableColumn id="1" xr3:uid="{2C1B7247-9A17-4617-A3B4-C0B5A23CC704}" uniqueName="1" name="Product ID" queryTableFieldId="1" dataDxfId="12"/>
    <tableColumn id="2" xr3:uid="{64906D31-F9E5-442E-9B80-5F18E240314B}" uniqueName="2" name="Product Name" queryTableFieldId="2" dataDxfId="11"/>
    <tableColumn id="3" xr3:uid="{EEF6A23F-20C0-449A-A2D1-05AA6AB3392D}" uniqueName="3" name="Brand Name" queryTableFieldId="3" dataDxfId="10"/>
    <tableColumn id="4" xr3:uid="{EBBD4B83-FF45-4C44-BD55-9E9188EE583C}" uniqueName="4" name="Price ($)" queryTableFieldId="4" dataDxfId="3"/>
    <tableColumn id="5" xr3:uid="{AF3034C0-AF20-4832-8093-999C45717C1F}" uniqueName="5" name="Quantity" queryTableFieldId="5" dataDxfId="9"/>
    <tableColumn id="6" xr3:uid="{08069D9B-A4C9-4C3D-B183-24A2C8CDD168}" uniqueName="6" name="Category" queryTableFieldId="6" dataDxfId="8"/>
    <tableColumn id="7" xr3:uid="{735B6FE1-BB20-4751-814B-B6396D0B6CAB}" uniqueName="7" name="Country Code" queryTableFieldId="7" dataDxfId="7"/>
    <tableColumn id="8" xr3:uid="{311AB545-88F8-400B-8D59-4896144571D2}" uniqueName="8" name="Manufacturing Date" queryTableFieldId="8" dataDxfId="5"/>
    <tableColumn id="9" xr3:uid="{4D2C955A-C351-4BBD-9B7B-739C02FB2B73}" uniqueName="9" name="Product Brand" queryTableFieldId="9" dataDxfId="4">
      <calculatedColumnFormula>CONCATENATE(Table1__2[[#This Row],[Brand Name]]," ",Table1__2[[#This Row],[Product Name]])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selection activeCell="F38" sqref="F38"/>
    </sheetView>
  </sheetViews>
  <sheetFormatPr defaultColWidth="12.6328125" defaultRowHeight="15" customHeight="1" x14ac:dyDescent="0.25"/>
  <cols>
    <col min="2" max="2" width="14.08984375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5D45-F81D-4DE1-A0D1-14B14F384727}">
  <dimension ref="A1:I32"/>
  <sheetViews>
    <sheetView tabSelected="1" workbookViewId="0">
      <selection activeCell="H9" sqref="H9"/>
    </sheetView>
  </sheetViews>
  <sheetFormatPr defaultRowHeight="12.5" x14ac:dyDescent="0.25"/>
  <cols>
    <col min="1" max="1" width="12.1796875" bestFit="1" customWidth="1"/>
    <col min="2" max="2" width="15.36328125" bestFit="1" customWidth="1"/>
    <col min="3" max="3" width="13.6328125" bestFit="1" customWidth="1"/>
    <col min="4" max="4" width="10.26953125" style="20" bestFit="1" customWidth="1"/>
    <col min="5" max="5" width="10.453125" bestFit="1" customWidth="1"/>
    <col min="6" max="6" width="10.90625" bestFit="1" customWidth="1"/>
    <col min="7" max="7" width="15" bestFit="1" customWidth="1"/>
    <col min="8" max="8" width="20" customWidth="1"/>
    <col min="9" max="9" width="22.81640625" customWidth="1"/>
  </cols>
  <sheetData>
    <row r="1" spans="1:9" x14ac:dyDescent="0.25">
      <c r="A1" s="12" t="s">
        <v>0</v>
      </c>
      <c r="B1" s="13" t="s">
        <v>1</v>
      </c>
      <c r="C1" s="13" t="s">
        <v>2</v>
      </c>
      <c r="D1" s="17" t="s">
        <v>3</v>
      </c>
      <c r="E1" s="13" t="s">
        <v>4</v>
      </c>
      <c r="F1" s="13" t="s">
        <v>5</v>
      </c>
      <c r="G1" s="13" t="s">
        <v>106</v>
      </c>
      <c r="H1" s="14" t="s">
        <v>107</v>
      </c>
      <c r="I1" s="13" t="s">
        <v>108</v>
      </c>
    </row>
    <row r="2" spans="1:9" x14ac:dyDescent="0.25">
      <c r="A2" s="6" t="s">
        <v>58</v>
      </c>
      <c r="B2" s="10" t="s">
        <v>59</v>
      </c>
      <c r="C2" s="10" t="s">
        <v>60</v>
      </c>
      <c r="D2" s="18">
        <v>150</v>
      </c>
      <c r="E2" s="7">
        <v>15</v>
      </c>
      <c r="F2" s="10" t="s">
        <v>13</v>
      </c>
      <c r="G2" s="10" t="s">
        <v>94</v>
      </c>
      <c r="H2" s="15">
        <v>46082</v>
      </c>
      <c r="I2" s="16" t="str">
        <f>CONCATENATE(Table1__2[[#This Row],[Brand Name]]," ",Table1__2[[#This Row],[Product Name]])</f>
        <v>Oakley Sunglasses</v>
      </c>
    </row>
    <row r="3" spans="1:9" x14ac:dyDescent="0.25">
      <c r="A3" s="6" t="s">
        <v>87</v>
      </c>
      <c r="B3" s="10" t="s">
        <v>88</v>
      </c>
      <c r="C3" s="10" t="s">
        <v>89</v>
      </c>
      <c r="D3" s="18">
        <v>50</v>
      </c>
      <c r="E3" s="7">
        <v>50</v>
      </c>
      <c r="F3" s="10" t="s">
        <v>13</v>
      </c>
      <c r="G3" s="10" t="s">
        <v>95</v>
      </c>
      <c r="H3" s="15">
        <v>46358</v>
      </c>
      <c r="I3" s="16" t="str">
        <f>CONCATENATE(Table1__2[[#This Row],[Brand Name]]," ",Table1__2[[#This Row],[Product Name]])</f>
        <v>Levi's Jeans</v>
      </c>
    </row>
    <row r="4" spans="1:9" x14ac:dyDescent="0.25">
      <c r="A4" s="6" t="s">
        <v>75</v>
      </c>
      <c r="B4" s="10" t="s">
        <v>59</v>
      </c>
      <c r="C4" s="10" t="s">
        <v>76</v>
      </c>
      <c r="D4" s="18">
        <v>130</v>
      </c>
      <c r="E4" s="7">
        <v>25</v>
      </c>
      <c r="F4" s="10" t="s">
        <v>13</v>
      </c>
      <c r="G4" s="10" t="s">
        <v>95</v>
      </c>
      <c r="H4" s="15">
        <v>46176</v>
      </c>
      <c r="I4" s="16" t="str">
        <f>CONCATENATE(Table1__2[[#This Row],[Brand Name]]," ",Table1__2[[#This Row],[Product Name]])</f>
        <v>Ray-Ban Sunglasses</v>
      </c>
    </row>
    <row r="5" spans="1:9" x14ac:dyDescent="0.25">
      <c r="A5" s="6" t="s">
        <v>14</v>
      </c>
      <c r="B5" s="10" t="s">
        <v>15</v>
      </c>
      <c r="C5" s="10" t="s">
        <v>16</v>
      </c>
      <c r="D5" s="18">
        <v>130</v>
      </c>
      <c r="E5" s="7">
        <v>40</v>
      </c>
      <c r="F5" s="10" t="s">
        <v>17</v>
      </c>
      <c r="G5" s="10" t="s">
        <v>96</v>
      </c>
      <c r="H5" s="15">
        <v>46084</v>
      </c>
      <c r="I5" s="16" t="str">
        <f>CONCATENATE(Table1__2[[#This Row],[Brand Name]]," ",Table1__2[[#This Row],[Product Name]])</f>
        <v>Keurig Coffee Maker</v>
      </c>
    </row>
    <row r="6" spans="1:9" x14ac:dyDescent="0.25">
      <c r="A6" s="6" t="s">
        <v>34</v>
      </c>
      <c r="B6" s="10" t="s">
        <v>35</v>
      </c>
      <c r="C6" s="10" t="s">
        <v>36</v>
      </c>
      <c r="D6" s="18">
        <v>500</v>
      </c>
      <c r="E6" s="7">
        <v>50</v>
      </c>
      <c r="F6" s="21" t="s">
        <v>9</v>
      </c>
      <c r="G6" s="10" t="s">
        <v>94</v>
      </c>
      <c r="H6" s="15">
        <v>46270</v>
      </c>
      <c r="I6" s="16" t="str">
        <f>CONCATENATE(Table1__2[[#This Row],[Brand Name]]," ",Table1__2[[#This Row],[Product Name]])</f>
        <v>Apple Tablet</v>
      </c>
    </row>
    <row r="7" spans="1:9" x14ac:dyDescent="0.25">
      <c r="A7" s="6" t="s">
        <v>25</v>
      </c>
      <c r="B7" s="10" t="s">
        <v>26</v>
      </c>
      <c r="C7" s="10" t="s">
        <v>27</v>
      </c>
      <c r="D7" s="18">
        <v>200</v>
      </c>
      <c r="E7" s="7">
        <v>45</v>
      </c>
      <c r="F7" s="10" t="s">
        <v>9</v>
      </c>
      <c r="G7" s="10" t="s">
        <v>94</v>
      </c>
      <c r="H7" s="15">
        <v>46180</v>
      </c>
      <c r="I7" s="16" t="str">
        <f>CONCATENATE(Table1__2[[#This Row],[Brand Name]]," ",Table1__2[[#This Row],[Product Name]])</f>
        <v>Sony Headphones</v>
      </c>
    </row>
    <row r="8" spans="1:9" x14ac:dyDescent="0.25">
      <c r="A8" s="6" t="s">
        <v>79</v>
      </c>
      <c r="B8" s="10" t="s">
        <v>80</v>
      </c>
      <c r="C8" s="10" t="s">
        <v>81</v>
      </c>
      <c r="D8" s="18">
        <v>60</v>
      </c>
      <c r="E8" s="7">
        <v>30</v>
      </c>
      <c r="F8" s="10" t="s">
        <v>13</v>
      </c>
      <c r="G8" s="10" t="s">
        <v>95</v>
      </c>
      <c r="H8" s="15">
        <v>46088</v>
      </c>
      <c r="I8" s="16" t="str">
        <f>CONCATENATE(Table1__2[[#This Row],[Brand Name]]," ",Table1__2[[#This Row],[Product Name]])</f>
        <v>Zara Dress</v>
      </c>
    </row>
    <row r="9" spans="1:9" x14ac:dyDescent="0.25">
      <c r="A9" s="6" t="s">
        <v>43</v>
      </c>
      <c r="B9" s="10" t="s">
        <v>15</v>
      </c>
      <c r="C9" s="10" t="s">
        <v>44</v>
      </c>
      <c r="D9" s="18">
        <v>120</v>
      </c>
      <c r="E9" s="7">
        <v>35</v>
      </c>
      <c r="F9" s="10" t="s">
        <v>17</v>
      </c>
      <c r="G9" s="10" t="s">
        <v>97</v>
      </c>
      <c r="H9" s="15">
        <v>46364</v>
      </c>
      <c r="I9" s="16" t="str">
        <f>CONCATENATE(Table1__2[[#This Row],[Brand Name]]," ",Table1__2[[#This Row],[Product Name]])</f>
        <v>Nespresso Coffee Maker</v>
      </c>
    </row>
    <row r="10" spans="1:9" x14ac:dyDescent="0.25">
      <c r="A10" s="6" t="s">
        <v>67</v>
      </c>
      <c r="B10" s="10" t="s">
        <v>68</v>
      </c>
      <c r="C10" s="10" t="s">
        <v>69</v>
      </c>
      <c r="D10" s="18">
        <v>80</v>
      </c>
      <c r="E10" s="7">
        <v>20</v>
      </c>
      <c r="F10" s="10" t="s">
        <v>17</v>
      </c>
      <c r="G10" s="10" t="s">
        <v>95</v>
      </c>
      <c r="H10" s="15">
        <v>46031</v>
      </c>
      <c r="I10" s="16" t="str">
        <f>CONCATENATE(Table1__2[[#This Row],[Brand Name]]," ",Table1__2[[#This Row],[Product Name]])</f>
        <v>Panasonic Microwave</v>
      </c>
    </row>
    <row r="11" spans="1:9" x14ac:dyDescent="0.25">
      <c r="A11" s="6" t="s">
        <v>90</v>
      </c>
      <c r="B11" s="10" t="s">
        <v>91</v>
      </c>
      <c r="C11" s="10" t="s">
        <v>92</v>
      </c>
      <c r="D11" s="18">
        <v>100</v>
      </c>
      <c r="E11" s="7">
        <v>20</v>
      </c>
      <c r="F11" s="10" t="s">
        <v>53</v>
      </c>
      <c r="G11" s="10" t="s">
        <v>98</v>
      </c>
      <c r="H11" s="15">
        <v>46212</v>
      </c>
      <c r="I11" s="16" t="str">
        <f>CONCATENATE(Table1__2[[#This Row],[Brand Name]]," ",Table1__2[[#This Row],[Product Name]])</f>
        <v>Casio Watch</v>
      </c>
    </row>
    <row r="12" spans="1:9" x14ac:dyDescent="0.25">
      <c r="A12" s="6" t="s">
        <v>18</v>
      </c>
      <c r="B12" s="10" t="s">
        <v>19</v>
      </c>
      <c r="C12" s="10" t="s">
        <v>20</v>
      </c>
      <c r="D12" s="18">
        <v>900</v>
      </c>
      <c r="E12" s="7">
        <v>25</v>
      </c>
      <c r="F12" s="10" t="s">
        <v>9</v>
      </c>
      <c r="G12" s="10" t="s">
        <v>96</v>
      </c>
      <c r="H12" s="15">
        <v>46123</v>
      </c>
      <c r="I12" s="16" t="str">
        <f>CONCATENATE(Table1__2[[#This Row],[Brand Name]]," ",Table1__2[[#This Row],[Product Name]])</f>
        <v>Samsung Smartphone</v>
      </c>
    </row>
    <row r="13" spans="1:9" x14ac:dyDescent="0.25">
      <c r="A13" s="6" t="s">
        <v>77</v>
      </c>
      <c r="B13" s="10" t="s">
        <v>32</v>
      </c>
      <c r="C13" s="10" t="s">
        <v>78</v>
      </c>
      <c r="D13" s="18">
        <v>400</v>
      </c>
      <c r="E13" s="7">
        <v>40</v>
      </c>
      <c r="F13" s="10" t="s">
        <v>17</v>
      </c>
      <c r="G13" s="10" t="s">
        <v>95</v>
      </c>
      <c r="H13" s="15">
        <v>46214</v>
      </c>
      <c r="I13" s="16" t="str">
        <f>CONCATENATE(Table1__2[[#This Row],[Brand Name]]," ",Table1__2[[#This Row],[Product Name]])</f>
        <v>Vitamix Blender</v>
      </c>
    </row>
    <row r="14" spans="1:9" x14ac:dyDescent="0.25">
      <c r="A14" s="6" t="s">
        <v>82</v>
      </c>
      <c r="B14" s="10" t="s">
        <v>83</v>
      </c>
      <c r="C14" s="10" t="s">
        <v>84</v>
      </c>
      <c r="D14" s="18">
        <v>40</v>
      </c>
      <c r="E14" s="7">
        <v>10</v>
      </c>
      <c r="F14" s="10" t="s">
        <v>17</v>
      </c>
      <c r="G14" s="10" t="s">
        <v>95</v>
      </c>
      <c r="H14" s="15">
        <v>46125</v>
      </c>
      <c r="I14" s="16" t="str">
        <f>CONCATENATE(Table1__2[[#This Row],[Brand Name]]," ",Table1__2[[#This Row],[Product Name]])</f>
        <v>Hamilton Toaster</v>
      </c>
    </row>
    <row r="15" spans="1:9" x14ac:dyDescent="0.25">
      <c r="A15" s="6" t="s">
        <v>61</v>
      </c>
      <c r="B15" s="10" t="s">
        <v>62</v>
      </c>
      <c r="C15" s="10" t="s">
        <v>63</v>
      </c>
      <c r="D15" s="18">
        <v>200</v>
      </c>
      <c r="E15" s="7">
        <v>10</v>
      </c>
      <c r="F15" s="10" t="s">
        <v>24</v>
      </c>
      <c r="G15" s="10" t="s">
        <v>96</v>
      </c>
      <c r="H15" s="15">
        <v>46248</v>
      </c>
      <c r="I15" s="16" t="str">
        <f>CONCATENATE(Table1__2[[#This Row],[Brand Name]]," ",Table1__2[[#This Row],[Product Name]])</f>
        <v>Coleman Camping Tent</v>
      </c>
    </row>
    <row r="16" spans="1:9" x14ac:dyDescent="0.25">
      <c r="A16" s="6" t="s">
        <v>64</v>
      </c>
      <c r="B16" s="10" t="s">
        <v>65</v>
      </c>
      <c r="C16" s="10" t="s">
        <v>66</v>
      </c>
      <c r="D16" s="18">
        <v>700</v>
      </c>
      <c r="E16" s="7">
        <v>50</v>
      </c>
      <c r="F16" s="10" t="s">
        <v>9</v>
      </c>
      <c r="G16" s="10" t="s">
        <v>99</v>
      </c>
      <c r="H16" s="15">
        <v>46156</v>
      </c>
      <c r="I16" s="16" t="str">
        <f>CONCATENATE(Table1__2[[#This Row],[Brand Name]]," ",Table1__2[[#This Row],[Product Name]])</f>
        <v>Nikon Camera</v>
      </c>
    </row>
    <row r="17" spans="1:9" x14ac:dyDescent="0.25">
      <c r="A17" s="6" t="s">
        <v>37</v>
      </c>
      <c r="B17" s="10" t="s">
        <v>38</v>
      </c>
      <c r="C17" s="10" t="s">
        <v>39</v>
      </c>
      <c r="D17" s="18">
        <v>130</v>
      </c>
      <c r="E17" s="7">
        <v>10</v>
      </c>
      <c r="F17" s="10" t="s">
        <v>24</v>
      </c>
      <c r="G17" s="10" t="s">
        <v>94</v>
      </c>
      <c r="H17" s="15">
        <v>46309</v>
      </c>
      <c r="I17" s="16" t="str">
        <f>CONCATENATE(Table1__2[[#This Row],[Brand Name]]," ",Table1__2[[#This Row],[Product Name]])</f>
        <v>Timberland Hiking Boots</v>
      </c>
    </row>
    <row r="18" spans="1:9" x14ac:dyDescent="0.25">
      <c r="A18" s="6" t="s">
        <v>10</v>
      </c>
      <c r="B18" s="10" t="s">
        <v>11</v>
      </c>
      <c r="C18" s="10" t="s">
        <v>12</v>
      </c>
      <c r="D18" s="18">
        <v>80</v>
      </c>
      <c r="E18" s="7">
        <v>15</v>
      </c>
      <c r="F18" s="10" t="s">
        <v>13</v>
      </c>
      <c r="G18" s="10" t="s">
        <v>96</v>
      </c>
      <c r="H18" s="15">
        <v>46068</v>
      </c>
      <c r="I18" s="16" t="str">
        <f>CONCATENATE(Table1__2[[#This Row],[Brand Name]]," ",Table1__2[[#This Row],[Product Name]])</f>
        <v>Nike Sneakers</v>
      </c>
    </row>
    <row r="19" spans="1:9" x14ac:dyDescent="0.25">
      <c r="A19" s="6" t="s">
        <v>48</v>
      </c>
      <c r="B19" s="10" t="s">
        <v>26</v>
      </c>
      <c r="C19" s="10" t="s">
        <v>49</v>
      </c>
      <c r="D19" s="18">
        <v>250</v>
      </c>
      <c r="E19" s="7">
        <v>20</v>
      </c>
      <c r="F19" s="10" t="s">
        <v>9</v>
      </c>
      <c r="G19" s="10" t="s">
        <v>100</v>
      </c>
      <c r="H19" s="15">
        <v>46128</v>
      </c>
      <c r="I19" s="16" t="str">
        <f>CONCATENATE(Table1__2[[#This Row],[Brand Name]]," ",Table1__2[[#This Row],[Product Name]])</f>
        <v>Bose Headphones</v>
      </c>
    </row>
    <row r="20" spans="1:9" x14ac:dyDescent="0.25">
      <c r="A20" s="6" t="s">
        <v>40</v>
      </c>
      <c r="B20" s="10" t="s">
        <v>7</v>
      </c>
      <c r="C20" s="10" t="s">
        <v>41</v>
      </c>
      <c r="D20" s="18">
        <v>950</v>
      </c>
      <c r="E20" s="7">
        <v>25</v>
      </c>
      <c r="F20" s="10" t="s">
        <v>9</v>
      </c>
      <c r="G20" s="10" t="s">
        <v>101</v>
      </c>
      <c r="H20" s="15">
        <v>46190</v>
      </c>
      <c r="I20" s="16" t="str">
        <f>CONCATENATE(Table1__2[[#This Row],[Brand Name]]," ",Table1__2[[#This Row],[Product Name]])</f>
        <v>HP Laptop</v>
      </c>
    </row>
    <row r="21" spans="1:9" x14ac:dyDescent="0.25">
      <c r="A21" s="6" t="s">
        <v>45</v>
      </c>
      <c r="B21" s="10" t="s">
        <v>46</v>
      </c>
      <c r="C21" s="10" t="s">
        <v>47</v>
      </c>
      <c r="D21" s="18">
        <v>150</v>
      </c>
      <c r="E21" s="7">
        <v>15</v>
      </c>
      <c r="F21" s="10" t="s">
        <v>9</v>
      </c>
      <c r="G21" s="10" t="s">
        <v>95</v>
      </c>
      <c r="H21" s="15">
        <v>46071</v>
      </c>
      <c r="I21" s="16" t="str">
        <f>CONCATENATE(Table1__2[[#This Row],[Brand Name]]," ",Table1__2[[#This Row],[Product Name]])</f>
        <v>Fitbit Smartwatch</v>
      </c>
    </row>
    <row r="22" spans="1:9" x14ac:dyDescent="0.25">
      <c r="A22" s="6" t="s">
        <v>70</v>
      </c>
      <c r="B22" s="10" t="s">
        <v>71</v>
      </c>
      <c r="C22" s="10" t="s">
        <v>72</v>
      </c>
      <c r="D22" s="18">
        <v>150</v>
      </c>
      <c r="E22" s="7">
        <v>30</v>
      </c>
      <c r="F22" s="10" t="s">
        <v>9</v>
      </c>
      <c r="G22" s="10" t="s">
        <v>102</v>
      </c>
      <c r="H22" s="15">
        <v>46222</v>
      </c>
      <c r="I22" s="16" t="str">
        <f>CONCATENATE(Table1__2[[#This Row],[Brand Name]]," ",Table1__2[[#This Row],[Product Name]])</f>
        <v>Xiaomi Fitness Tracker</v>
      </c>
    </row>
    <row r="23" spans="1:9" x14ac:dyDescent="0.25">
      <c r="A23" s="6" t="s">
        <v>28</v>
      </c>
      <c r="B23" s="10" t="s">
        <v>93</v>
      </c>
      <c r="C23" s="10" t="s">
        <v>30</v>
      </c>
      <c r="D23" s="18">
        <v>30</v>
      </c>
      <c r="E23" s="7">
        <v>5</v>
      </c>
      <c r="F23" s="10" t="s">
        <v>13</v>
      </c>
      <c r="G23" s="10" t="s">
        <v>94</v>
      </c>
      <c r="H23" s="15">
        <v>46222</v>
      </c>
      <c r="I23" s="16" t="str">
        <f>CONCATENATE(Table1__2[[#This Row],[Brand Name]]," ",Table1__2[[#This Row],[Product Name]])</f>
        <v>Adidas T-Shirt</v>
      </c>
    </row>
    <row r="24" spans="1:9" x14ac:dyDescent="0.25">
      <c r="A24" s="6" t="s">
        <v>54</v>
      </c>
      <c r="B24" s="10" t="s">
        <v>46</v>
      </c>
      <c r="C24" s="10" t="s">
        <v>55</v>
      </c>
      <c r="D24" s="18">
        <v>160</v>
      </c>
      <c r="E24" s="7">
        <v>15</v>
      </c>
      <c r="F24" s="10" t="s">
        <v>9</v>
      </c>
      <c r="G24" s="10" t="s">
        <v>103</v>
      </c>
      <c r="H24" s="15">
        <v>46254</v>
      </c>
      <c r="I24" s="16" t="str">
        <f>CONCATENATE(Table1__2[[#This Row],[Brand Name]]," ",Table1__2[[#This Row],[Product Name]])</f>
        <v>Huawei Smartwatch</v>
      </c>
    </row>
    <row r="25" spans="1:9" x14ac:dyDescent="0.25">
      <c r="A25" s="6" t="s">
        <v>50</v>
      </c>
      <c r="B25" s="10" t="s">
        <v>51</v>
      </c>
      <c r="C25" s="10" t="s">
        <v>52</v>
      </c>
      <c r="D25" s="18">
        <v>50</v>
      </c>
      <c r="E25" s="7">
        <v>35</v>
      </c>
      <c r="F25" s="10" t="s">
        <v>53</v>
      </c>
      <c r="G25" s="10" t="s">
        <v>95</v>
      </c>
      <c r="H25" s="15">
        <v>46255</v>
      </c>
      <c r="I25" s="16" t="str">
        <f>CONCATENATE(Table1__2[[#This Row],[Brand Name]]," ",Table1__2[[#This Row],[Product Name]])</f>
        <v>Samsonite Laptop Bag</v>
      </c>
    </row>
    <row r="26" spans="1:9" x14ac:dyDescent="0.25">
      <c r="A26" s="6" t="s">
        <v>21</v>
      </c>
      <c r="B26" s="10" t="s">
        <v>22</v>
      </c>
      <c r="C26" s="10" t="s">
        <v>23</v>
      </c>
      <c r="D26" s="18">
        <v>70</v>
      </c>
      <c r="E26" s="7">
        <v>20</v>
      </c>
      <c r="F26" s="10" t="s">
        <v>24</v>
      </c>
      <c r="G26" s="10" t="s">
        <v>96</v>
      </c>
      <c r="H26" s="15">
        <v>46164</v>
      </c>
      <c r="I26" s="16" t="str">
        <f>CONCATENATE(Table1__2[[#This Row],[Brand Name]]," ",Table1__2[[#This Row],[Product Name]])</f>
        <v>North Face Backpack</v>
      </c>
    </row>
    <row r="27" spans="1:9" x14ac:dyDescent="0.25">
      <c r="A27" s="6" t="s">
        <v>31</v>
      </c>
      <c r="B27" s="10" t="s">
        <v>32</v>
      </c>
      <c r="C27" s="10" t="s">
        <v>33</v>
      </c>
      <c r="D27" s="18">
        <v>90</v>
      </c>
      <c r="E27" s="7">
        <v>35</v>
      </c>
      <c r="F27" s="10" t="s">
        <v>17</v>
      </c>
      <c r="G27" s="10" t="s">
        <v>94</v>
      </c>
      <c r="H27" s="15">
        <v>46257</v>
      </c>
      <c r="I27" s="16" t="str">
        <f>CONCATENATE(Table1__2[[#This Row],[Brand Name]]," ",Table1__2[[#This Row],[Product Name]])</f>
        <v>Ninja Blender</v>
      </c>
    </row>
    <row r="28" spans="1:9" x14ac:dyDescent="0.25">
      <c r="A28" s="6" t="s">
        <v>85</v>
      </c>
      <c r="B28" s="10" t="s">
        <v>71</v>
      </c>
      <c r="C28" s="10" t="s">
        <v>86</v>
      </c>
      <c r="D28" s="18">
        <v>130</v>
      </c>
      <c r="E28" s="7">
        <v>5</v>
      </c>
      <c r="F28" s="10" t="s">
        <v>9</v>
      </c>
      <c r="G28" s="10" t="s">
        <v>95</v>
      </c>
      <c r="H28" s="15">
        <v>46166</v>
      </c>
      <c r="I28" s="16" t="str">
        <f>CONCATENATE(Table1__2[[#This Row],[Brand Name]]," ",Table1__2[[#This Row],[Product Name]])</f>
        <v>Garmin Fitness Tracker</v>
      </c>
    </row>
    <row r="29" spans="1:9" x14ac:dyDescent="0.25">
      <c r="A29" s="6" t="s">
        <v>42</v>
      </c>
      <c r="B29" s="10" t="s">
        <v>11</v>
      </c>
      <c r="C29" s="10" t="s">
        <v>30</v>
      </c>
      <c r="D29" s="18">
        <v>90</v>
      </c>
      <c r="E29" s="7">
        <v>40</v>
      </c>
      <c r="F29" s="10" t="s">
        <v>13</v>
      </c>
      <c r="G29" s="10" t="s">
        <v>104</v>
      </c>
      <c r="H29" s="15">
        <v>46351</v>
      </c>
      <c r="I29" s="16" t="str">
        <f>CONCATENATE(Table1__2[[#This Row],[Brand Name]]," ",Table1__2[[#This Row],[Product Name]])</f>
        <v>Adidas Sneakers</v>
      </c>
    </row>
    <row r="30" spans="1:9" x14ac:dyDescent="0.25">
      <c r="A30" s="6" t="s">
        <v>56</v>
      </c>
      <c r="B30" s="10" t="s">
        <v>7</v>
      </c>
      <c r="C30" s="10" t="s">
        <v>57</v>
      </c>
      <c r="D30" s="18">
        <v>980</v>
      </c>
      <c r="E30" s="7">
        <v>10</v>
      </c>
      <c r="F30" s="10" t="s">
        <v>9</v>
      </c>
      <c r="G30" s="10" t="s">
        <v>105</v>
      </c>
      <c r="H30" s="15">
        <v>46049</v>
      </c>
      <c r="I30" s="16" t="str">
        <f>CONCATENATE(Table1__2[[#This Row],[Brand Name]]," ",Table1__2[[#This Row],[Product Name]])</f>
        <v>Asus Laptop</v>
      </c>
    </row>
    <row r="31" spans="1:9" x14ac:dyDescent="0.25">
      <c r="A31" s="6" t="s">
        <v>6</v>
      </c>
      <c r="B31" s="10" t="s">
        <v>7</v>
      </c>
      <c r="C31" s="10" t="s">
        <v>8</v>
      </c>
      <c r="D31" s="18">
        <v>1000</v>
      </c>
      <c r="E31" s="7">
        <v>30</v>
      </c>
      <c r="F31" s="10" t="s">
        <v>9</v>
      </c>
      <c r="G31" s="10" t="s">
        <v>96</v>
      </c>
      <c r="H31" s="15">
        <v>46050</v>
      </c>
      <c r="I31" s="16" t="str">
        <f>CONCATENATE(Table1__2[[#This Row],[Brand Name]]," ",Table1__2[[#This Row],[Product Name]])</f>
        <v>Dell Laptop</v>
      </c>
    </row>
    <row r="32" spans="1:9" x14ac:dyDescent="0.25">
      <c r="A32" s="8" t="s">
        <v>73</v>
      </c>
      <c r="B32" s="11" t="s">
        <v>19</v>
      </c>
      <c r="C32" s="11" t="s">
        <v>74</v>
      </c>
      <c r="D32" s="19">
        <v>800</v>
      </c>
      <c r="E32" s="9">
        <v>45</v>
      </c>
      <c r="F32" s="11" t="s">
        <v>9</v>
      </c>
      <c r="G32" s="11" t="s">
        <v>95</v>
      </c>
      <c r="H32" s="15">
        <v>46294</v>
      </c>
      <c r="I32" s="16" t="str">
        <f>CONCATENATE(Table1__2[[#This Row],[Brand Name]]," ",Table1__2[[#This Row],[Product Name]])</f>
        <v>Google Smartphone</v>
      </c>
    </row>
  </sheetData>
  <conditionalFormatting sqref="D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{8A7B27E7-CDB7-4DF9-87BE-B6A0A5B42A38}</x14:id>
        </ext>
      </extLst>
    </cfRule>
  </conditionalFormatting>
  <conditionalFormatting sqref="D1:D104857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{C66EBFB9-2446-4D4D-9572-B0F396323D61}</x14:id>
        </ext>
      </extLst>
    </cfRule>
  </conditionalFormatting>
  <conditionalFormatting sqref="F1">
    <cfRule type="cellIs" dxfId="2" priority="2" operator="equal">
      <formula>$F$6</formula>
    </cfRule>
  </conditionalFormatting>
  <conditionalFormatting sqref="F1:F1048576">
    <cfRule type="cellIs" dxfId="0" priority="1" operator="equal">
      <formula>"Electronics"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7B27E7-CDB7-4DF9-87BE-B6A0A5B42A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</xm:sqref>
        </x14:conditionalFormatting>
        <x14:conditionalFormatting xmlns:xm="http://schemas.microsoft.com/office/excel/2006/main">
          <x14:cfRule type="dataBar" id="{C66EBFB9-2446-4D4D-9572-B0F396323D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8C0001-1B25-4444-923E-EF022ECA63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Dataset_Cleaned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inspirer2545@outlook.com</cp:lastModifiedBy>
  <dcterms:modified xsi:type="dcterms:W3CDTF">2026-05-13T06:18:24Z</dcterms:modified>
</cp:coreProperties>
</file>